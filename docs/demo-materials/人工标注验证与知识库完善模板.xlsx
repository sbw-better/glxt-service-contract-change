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9a434679f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6e6dbec93e44e6d"/>
    <x:sheet xmlns:r="http://schemas.openxmlformats.org/officeDocument/2006/relationships" name="人工标注测试集" sheetId="2" r:id="R087de611fd7948d7"/>
    <x:sheet xmlns:r="http://schemas.openxmlformats.org/officeDocument/2006/relationships" name="指标汇总" sheetId="3" r:id="R7f85da31fc4a4b0d"/>
    <x:sheet xmlns:r="http://schemas.openxmlformats.org/officeDocument/2006/relationships" name="知识库补充候选" sheetId="4" r:id="R3ca0512bd3fe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1111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F1F3F5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c42a3280e4c13" /><Relationship Type="http://schemas.openxmlformats.org/officeDocument/2006/relationships/theme" Target="/xl/theme/theme1.xml" Id="Rca05f5e036d14d37" /><Relationship Type="http://schemas.openxmlformats.org/officeDocument/2006/relationships/sharedStrings" Target="/xl/sharedStrings.xml" Id="R29b32495f3ea47de" /><Relationship Type="http://schemas.openxmlformats.org/officeDocument/2006/relationships/worksheet" Target="/xl/worksheets/sheet1.xml" Id="Rf6e6dbec93e44e6d" /><Relationship Type="http://schemas.openxmlformats.org/officeDocument/2006/relationships/worksheet" Target="/xl/worksheets/sheet2.xml" Id="R087de611fd7948d7" /><Relationship Type="http://schemas.openxmlformats.org/officeDocument/2006/relationships/worksheet" Target="/xl/worksheets/sheet3.xml" Id="R7f85da31fc4a4b0d" /><Relationship Type="http://schemas.openxmlformats.org/officeDocument/2006/relationships/worksheet" Target="/xl/worksheets/sheet4.xml" Id="R3ca0512bd3fe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>
      <x:c r="A1" s="2" t="str">
        <x:v>合同段落变更类型识别服务 - 人工验证与知识库完善模板</x:v>
      </x:c>
    </x:row>
    <x:row r="3">
      <x:c r="A3" s="6" t="str">
        <x:v>用途</x:v>
      </x:c>
      <x:c r="B3" s="4" t="str">
        <x:v>说明</x:v>
      </x:c>
      <x:c r="C3"/>
      <x:c r="D3"/>
      <x:c r="E3"/>
    </x:row>
    <x:row r="4">
      <x:c r="A4" s="6" t="str">
        <x:v>人工标注测试集</x:v>
      </x:c>
      <x:c r="B4" s="4" t="str">
        <x:v>录入未进入历史库的独立段落、人工标准类型和系统预测结果，用于统计验收指标。</x:v>
      </x:c>
      <x:c r="C4"/>
      <x:c r="D4"/>
      <x:c r="E4"/>
    </x:row>
    <x:row r="5">
      <x:c r="A5" s="6" t="str">
        <x:v>指标汇总</x:v>
      </x:c>
      <x:c r="B5" s="4" t="str">
        <x:v>根据人工标注页统计样本数、命中数、HIGH 结果数量等，可按项目验收口径继续扩展。</x:v>
      </x:c>
      <x:c r="C5"/>
      <x:c r="D5"/>
      <x:c r="E5"/>
    </x:row>
    <x:row r="6">
      <x:c r="A6" s="6" t="str">
        <x:v>知识库补充候选</x:v>
      </x:c>
      <x:c r="B6" s="4" t="str">
        <x:v>文档比对后产生的新段落，经人工确认类型后，可整理为导入样本。</x:v>
      </x:c>
      <x:c r="C6"/>
      <x:c r="D6"/>
      <x:c r="E6"/>
    </x:row>
    <x:row r="7">
      <x:c r="A7" s="6" t="str">
        <x:v>重要原则</x:v>
      </x:c>
      <x:c r="B7" s="4" t="str">
        <x:v>未经人工确认的预测结果不自动入库，避免错误标签污染历史知识库。</x:v>
      </x:c>
      <x:c r="C7"/>
      <x:c r="D7"/>
      <x:c r="E7"/>
    </x:row>
    <x:row r="8">
      <x:c r="A8" s="6" t="str">
        <x:v>演示口径</x:v>
      </x:c>
      <x:c r="B8" s="4" t="str">
        <x:v>演示样本证明流程，真实准确性需要 30-100 条独立人工标注样本支撑。</x:v>
      </x:c>
      <x:c r="C8"/>
      <x:c r="D8"/>
      <x:c r="E8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5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8" t="str">
        <x:v>样本ID</x:v>
      </x:c>
      <x:c r="B1" s="8" t="str">
        <x:v>来源</x:v>
      </x:c>
      <x:c r="C1" s="8" t="str">
        <x:v>段落文本</x:v>
      </x:c>
      <x:c r="D1" s="8" t="str">
        <x:v>人工变更类型编码</x:v>
      </x:c>
      <x:c r="E1" s="8" t="str">
        <x:v>系统matchType</x:v>
      </x:c>
      <x:c r="F1" s="8" t="str">
        <x:v>maxSimilarity</x:v>
      </x:c>
      <x:c r="G1" s="8" t="str">
        <x:v>系统返回类型编码</x:v>
      </x:c>
      <x:c r="H1" s="8" t="str">
        <x:v>最高level</x:v>
      </x:c>
      <x:c r="I1" s="8" t="str">
        <x:v>最高score</x:v>
      </x:c>
      <x:c r="J1" s="8" t="str">
        <x:v>supportCount</x:v>
      </x:c>
      <x:c r="K1" s="8" t="str">
        <x:v>是否命中人工标签</x:v>
      </x:c>
      <x:c r="L1" s="8" t="str">
        <x:v>是否可补充知识库</x:v>
      </x:c>
      <x:c r="M1" s="8" t="str">
        <x:v>备注</x:v>
      </x:c>
    </x:row>
    <x:row r="2">
      <x:c r="A2" s="4" t="str">
        <x:v>T001</x:v>
      </x:c>
      <x:c r="B2" s="4" t="str">
        <x:v>独立测试集</x:v>
      </x:c>
      <x:c r="C2" s="4" t="str">
        <x:v>填写未进入历史库的合同段落</x:v>
      </x:c>
      <x:c r="D2" s="4" t="str">
        <x:v>20;25</x:v>
      </x:c>
      <x:c r="E2" s="4" t="str">
        <x:v>待填</x:v>
      </x:c>
      <x:c r="F2" s="4"/>
      <x:c r="G2" s="4" t="str">
        <x:v>待填</x:v>
      </x:c>
      <x:c r="H2" s="4" t="str">
        <x:v>待填</x:v>
      </x:c>
      <x:c r="I2" s="4"/>
      <x:c r="J2" s="4"/>
      <x:c r="K2" s="4" t="str">
        <x:v>待判定</x:v>
      </x:c>
      <x:c r="L2" s="4" t="str">
        <x:v>待判定</x:v>
      </x:c>
      <x:c r="M2" s="4" t="str">
        <x:v>演示样例行，正式验证时替换</x:v>
      </x:c>
    </x:row>
    <x:row r="3">
      <x:c r="A3" s="4" t="str">
        <x:v>T002</x:v>
      </x:c>
      <x:c r="B3" s="4" t="str">
        <x:v>独立测试集</x:v>
      </x:c>
      <x:c r="C3" s="4" t="str">
        <x:v>填写第二条人工标注段落</x:v>
      </x:c>
      <x:c r="D3" s="4" t="str">
        <x:v>28</x:v>
      </x:c>
      <x:c r="E3" s="4" t="str">
        <x:v>待填</x:v>
      </x:c>
      <x:c r="F3" s="4"/>
      <x:c r="G3" s="4" t="str">
        <x:v>待填</x:v>
      </x:c>
      <x:c r="H3" s="4" t="str">
        <x:v>待填</x:v>
      </x:c>
      <x:c r="I3" s="4"/>
      <x:c r="J3" s="4"/>
      <x:c r="K3" s="4" t="str">
        <x:v>待判定</x:v>
      </x:c>
      <x:c r="L3" s="4" t="str">
        <x:v>待判定</x:v>
      </x:c>
      <x:c r="M3" s="4" t="str"/>
    </x:row>
    <x:row r="4">
      <x:c r="A4" s="4" t="str">
        <x:v>T003</x:v>
      </x:c>
      <x:c r="B4" s="4" t="str">
        <x:v>独立测试集</x:v>
      </x:c>
      <x:c r="C4" s="4" t="str">
        <x:v>填写第三条人工标注段落</x:v>
      </x:c>
      <x:c r="D4" s="4" t="str">
        <x:v>43</x:v>
      </x:c>
      <x:c r="E4" s="4" t="str">
        <x:v>待填</x:v>
      </x:c>
      <x:c r="F4" s="4"/>
      <x:c r="G4" s="4" t="str">
        <x:v>待填</x:v>
      </x:c>
      <x:c r="H4" s="4" t="str">
        <x:v>待填</x:v>
      </x:c>
      <x:c r="I4" s="4"/>
      <x:c r="J4" s="4"/>
      <x:c r="K4" s="4" t="str">
        <x:v>待判定</x:v>
      </x:c>
      <x:c r="L4" s="4" t="str">
        <x:v>待判定</x:v>
      </x:c>
      <x:c r="M4" s="4" t="str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48" hidden="0" customWidth="1"/>
  </x:cols>
  <x:sheetData>
    <x:row r="1">
      <x:c r="A1" s="2" t="str">
        <x:v>准确性验证指标汇总</x:v>
      </x:c>
    </x:row>
    <x:row r="3">
      <x:c r="A3" s="8" t="str">
        <x:v>指标</x:v>
      </x:c>
      <x:c r="B3" s="8" t="str">
        <x:v>公式/口径</x:v>
      </x:c>
      <x:c r="C3" s="8" t="str">
        <x:v>当前值</x:v>
      </x:c>
      <x:c r="D3" s="8" t="str">
        <x:v>说明</x:v>
      </x:c>
    </x:row>
    <x:row r="4">
      <x:c r="A4" s="4" t="str">
        <x:v>测试样本数</x:v>
      </x:c>
      <x:c r="B4" s="4" t="str">
        <x:v>人工标注测试集非空样本数</x:v>
      </x:c>
      <x:c r="C4" s="4" t="n">
        <x:f>COUNTA('人工标注测试集'!A2:A101)</x:f>
        <x:v>3</x:v>
      </x:c>
      <x:c r="D4" s="4" t="str">
        <x:v>建议 30-100 条</x:v>
      </x:c>
    </x:row>
    <x:row r="5">
      <x:c r="A5" s="4" t="str">
        <x:v>命中样本数</x:v>
      </x:c>
      <x:c r="B5" s="4" t="str">
        <x:v>是否命中人工标签 = 是</x:v>
      </x:c>
      <x:c r="C5" s="4" t="n">
        <x:f>COUNTIF('人工标注测试集'!K2:K101,"是")</x:f>
        <x:v>0</x:v>
      </x:c>
      <x:c r="D5" s="4" t="str">
        <x:v>多标签只要覆盖人工标签即可按口径判定</x:v>
      </x:c>
    </x:row>
    <x:row r="6">
      <x:c r="A6" s="4" t="str">
        <x:v>类型命中率</x:v>
      </x:c>
      <x:c r="B6" s="4" t="str">
        <x:v>命中样本数 / 测试样本数</x:v>
      </x:c>
      <x:c r="C6" s="9" t="n">
        <x:f>IF(C4=0,0,C5/C4)</x:f>
        <x:v>0</x:v>
      </x:c>
      <x:c r="D6" s="4" t="str">
        <x:v>演示样本不能替代真实验收</x:v>
      </x:c>
    </x:row>
    <x:row r="7">
      <x:c r="A7" s="4" t="str">
        <x:v>HIGH 结果数</x:v>
      </x:c>
      <x:c r="B7" s="4" t="str">
        <x:v>最高level = HIGH</x:v>
      </x:c>
      <x:c r="C7" s="9" t="n">
        <x:f>COUNTIF('人工标注测试集'!H2:H101,"HIGH")</x:f>
        <x:v>0</x:v>
      </x:c>
      <x:c r="D7" s="4" t="str">
        <x:v>关注高可信结果质量</x:v>
      </x:c>
    </x:row>
    <x:row r="8">
      <x:c r="A8" s="4" t="str">
        <x:v>无可靠匹配数</x:v>
      </x:c>
      <x:c r="B8" s="4" t="str">
        <x:v>matchType = NO_RELIABLE_MATCH</x:v>
      </x:c>
      <x:c r="C8" s="9" t="n">
        <x:f>COUNTIF('人工标注测试集'!E2:E101,"NO_RELIABLE_MATCH")</x:f>
        <x:v>0</x:v>
      </x:c>
      <x:c r="D8" s="4" t="str">
        <x:v>反映知识库覆盖空白</x:v>
      </x:c>
    </x:row>
    <x:row r="9">
      <x:c r="A9" s="4" t="str">
        <x:v>可补充知识库数</x:v>
      </x:c>
      <x:c r="B9" s="4" t="str">
        <x:v>是否可补充知识库 = 是</x:v>
      </x:c>
      <x:c r="C9" s="9" t="n">
        <x:f>COUNTIF('人工标注测试集'!L2:L101,"是")</x:f>
        <x:v>0</x:v>
      </x:c>
      <x:c r="D9" s="4" t="str">
        <x:v>人工确认后可入库</x:v>
      </x:c>
    </x:row>
    <x:row r="10">
      <x:c r="A10" s="4" t="str">
        <x:v>人工标注完成率</x:v>
      </x:c>
      <x:c r="B10" s="4" t="str">
        <x:v>人工变更类型编码非空 / 样本数</x:v>
      </x:c>
      <x:c r="C10" s="9" t="n">
        <x:f>IF(C4=0,0,COUNTA('人工标注测试集'!D2:D101)/C4)</x:f>
        <x:v>1</x:v>
      </x:c>
      <x:c r="D10" s="4" t="str">
        <x:v>验证前置条件</x:v>
      </x:c>
    </x:row>
    <x:row r="11">
      <x:c r="A11" s="4" t="str">
        <x:v>备注</x:v>
      </x:c>
      <x:c r="B11" s="4" t="str">
        <x:v>F1、召回率可按类型明细另建透视表</x:v>
      </x:c>
      <x:c r="C11" s="4"/>
      <x:c r="D11" s="4" t="str">
        <x:v>正式验收建议按类型统计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8" t="str">
        <x:v>比对批次</x:v>
      </x:c>
      <x:c r="B1" s="8" t="str">
        <x:v>段落文本</x:v>
      </x:c>
      <x:c r="C1" s="8" t="str">
        <x:v>系统建议类型</x:v>
      </x:c>
      <x:c r="D1" s="8" t="str">
        <x:v>人工确认类型</x:v>
      </x:c>
      <x:c r="E1" s="8" t="str">
        <x:v>确认状态</x:v>
      </x:c>
      <x:c r="F1" s="8" t="str">
        <x:v>确认人</x:v>
      </x:c>
      <x:c r="G1" s="8" t="str">
        <x:v>确认时间</x:v>
      </x:c>
      <x:c r="H1" s="8" t="str">
        <x:v>冲突处理</x:v>
      </x:c>
      <x:c r="I1" s="8" t="str">
        <x:v>是否导入</x:v>
      </x:c>
      <x:c r="J1" s="8" t="str">
        <x:v>备注</x:v>
      </x:c>
    </x:row>
    <x:row r="2">
      <x:c r="A2" s="4" t="str">
        <x:v>COMPARE-001</x:v>
      </x:c>
      <x:c r="B2" s="4" t="str">
        <x:v>填写文档比对后发现的新段落</x:v>
      </x:c>
      <x:c r="C2" s="4" t="str">
        <x:v>20;25</x:v>
      </x:c>
      <x:c r="D2" s="4" t="str"/>
      <x:c r="E2" s="4" t="str">
        <x:v>待确认</x:v>
      </x:c>
      <x:c r="F2" s="4" t="str"/>
      <x:c r="G2" s="4" t="str"/>
      <x:c r="H2" s="4" t="str">
        <x:v>无</x:v>
      </x:c>
      <x:c r="I2" s="4" t="str">
        <x:v>否</x:v>
      </x:c>
      <x:c r="J2" s="4" t="str">
        <x:v>人工确认后再导入</x:v>
      </x:c>
    </x:row>
    <x:row r="3">
      <x:c r="A3" s="4" t="str">
        <x:v>COMPARE-001</x:v>
      </x:c>
      <x:c r="B3" s="4" t="str">
        <x:v>填写另一个待沉淀段落</x:v>
      </x:c>
      <x:c r="C3" s="4" t="str">
        <x:v>28</x:v>
      </x:c>
      <x:c r="D3" s="4" t="str"/>
      <x:c r="E3" s="4" t="str">
        <x:v>待确认</x:v>
      </x:c>
      <x:c r="F3" s="4" t="str"/>
      <x:c r="G3" s="4" t="str"/>
      <x:c r="H3" s="4" t="str">
        <x:v>无</x:v>
      </x:c>
      <x:c r="I3" s="4" t="str">
        <x:v>否</x:v>
      </x:c>
      <x:c r="J3" s="4" t="str"/>
    </x:row>
    <x:row r="4">
      <x:c r="A4" s="4" t="str">
        <x:v>COMPARE-002</x:v>
      </x:c>
      <x:c r="B4" s="4" t="str">
        <x:v>若与历史 Hash 相同但类型不同，需人工判断是否历史标签错误</x:v>
      </x:c>
      <x:c r="C4" s="4" t="str">
        <x:v>43</x:v>
      </x:c>
      <x:c r="D4" s="4" t="str"/>
      <x:c r="E4" s="4" t="str">
        <x:v>待复核</x:v>
      </x:c>
      <x:c r="F4" s="4" t="str"/>
      <x:c r="G4" s="4" t="str"/>
      <x:c r="H4" s="4" t="str">
        <x:v>冲突待处理</x:v>
      </x:c>
      <x:c r="I4" s="4" t="str">
        <x:v>否</x:v>
      </x:c>
      <x:c r="J4" s="4" t="str"/>
    </x:row>
    <x:row r="5">
      <x:c r="A5" s="4" t="str">
        <x:v>COMPARE-002</x:v>
      </x:c>
      <x:c r="B5" s="4" t="str">
        <x:v>确认后的低覆盖领域样本可优先补充</x:v>
      </x:c>
      <x:c r="C5" s="4" t="str">
        <x:v>57</x:v>
      </x:c>
      <x:c r="D5" s="4" t="str"/>
      <x:c r="E5" s="4" t="str">
        <x:v>待确认</x:v>
      </x:c>
      <x:c r="F5" s="4" t="str"/>
      <x:c r="G5" s="4" t="str"/>
      <x:c r="H5" s="4" t="str">
        <x:v>无</x:v>
      </x:c>
      <x:c r="I5" s="4" t="str">
        <x:v>否</x:v>
      </x:c>
      <x:c r="J5" s="4" t="str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</x:row>
  </x:sheetData>
  <x:pageMargins left="0.7" right="0.7" top="0.75" bottom="0.75" header="0.3" footer="0.3"/>
</x:worksheet>
</file>